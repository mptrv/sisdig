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Projetos\sisdig\3.4-sistema-linear\"/>
    </mc:Choice>
  </mc:AlternateContent>
  <bookViews>
    <workbookView xWindow="0" yWindow="0" windowWidth="20490" windowHeight="9030"/>
  </bookViews>
  <sheets>
    <sheet name="Resolução de Sistemas Lineare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9" i="1" l="1"/>
  <c r="D12" i="1" l="1"/>
  <c r="C12" i="1"/>
  <c r="B12" i="1"/>
  <c r="D11" i="1"/>
  <c r="C11" i="1"/>
  <c r="B11" i="1"/>
  <c r="J13" i="1"/>
  <c r="K13" i="1"/>
  <c r="L13" i="1"/>
  <c r="M13" i="1"/>
  <c r="N13" i="1"/>
  <c r="O13" i="1"/>
  <c r="J14" i="1"/>
  <c r="K14" i="1"/>
  <c r="L14" i="1"/>
  <c r="M14" i="1"/>
  <c r="N14" i="1"/>
  <c r="O14" i="1"/>
  <c r="J15" i="1"/>
  <c r="K15" i="1"/>
  <c r="L15" i="1"/>
  <c r="M15" i="1"/>
  <c r="N15" i="1"/>
  <c r="O15" i="1"/>
  <c r="J16" i="1"/>
  <c r="K16" i="1"/>
  <c r="L16" i="1"/>
  <c r="M16" i="1"/>
  <c r="N16" i="1"/>
  <c r="O16" i="1"/>
  <c r="J17" i="1"/>
  <c r="K17" i="1"/>
  <c r="L17" i="1"/>
  <c r="M17" i="1"/>
  <c r="N17" i="1"/>
  <c r="O17" i="1"/>
  <c r="K12" i="1"/>
  <c r="L12" i="1"/>
  <c r="M12" i="1"/>
  <c r="N12" i="1"/>
  <c r="O12" i="1"/>
  <c r="J12" i="1"/>
  <c r="B14" i="1" l="1" a="1"/>
  <c r="B15" i="1" s="1"/>
  <c r="P12" i="1"/>
  <c r="B2" i="1" s="1"/>
  <c r="P15" i="1"/>
  <c r="B3" i="1" s="1"/>
  <c r="P16" i="1"/>
  <c r="C3" i="1" s="1"/>
  <c r="P14" i="1"/>
  <c r="D2" i="1" s="1"/>
  <c r="P17" i="1"/>
  <c r="D3" i="1" s="1"/>
  <c r="P13" i="1"/>
  <c r="C15" i="1" l="1"/>
  <c r="C14" i="1"/>
  <c r="B14" i="1"/>
  <c r="C2" i="1"/>
  <c r="B5" i="1" s="1" a="1"/>
  <c r="D14" i="1" l="1" a="1"/>
  <c r="D15" i="1" s="1"/>
  <c r="C5" i="1"/>
  <c r="C6" i="1"/>
  <c r="B5" i="1"/>
  <c r="B6" i="1"/>
  <c r="D14" i="1" l="1"/>
  <c r="D5" i="1" a="1"/>
  <c r="D5" i="1" s="1"/>
  <c r="D6" i="1" l="1"/>
</calcChain>
</file>

<file path=xl/sharedStrings.xml><?xml version="1.0" encoding="utf-8"?>
<sst xmlns="http://schemas.openxmlformats.org/spreadsheetml/2006/main" count="35" uniqueCount="24">
  <si>
    <t>a</t>
  </si>
  <si>
    <t>b</t>
  </si>
  <si>
    <t>c</t>
  </si>
  <si>
    <t>Ref.: https://www.guiadoexcel.com.br/sistemas-lineares-e-matrizes-no-excel/</t>
  </si>
  <si>
    <r>
      <t>Observação:</t>
    </r>
    <r>
      <rPr>
        <sz val="11"/>
        <color theme="1"/>
        <rFont val="Calibri"/>
        <family val="2"/>
        <scheme val="minor"/>
      </rPr>
      <t xml:space="preserve"> Se você tiver uma versão atual do Office 365, poderá simplesmente inserir a fórmula na parte superior esquerda do intervalo de saída e pressionar </t>
    </r>
    <r>
      <rPr>
        <b/>
        <sz val="11"/>
        <color theme="1"/>
        <rFont val="Calibri"/>
        <family val="2"/>
        <scheme val="minor"/>
      </rPr>
      <t>Enter</t>
    </r>
    <r>
      <rPr>
        <sz val="11"/>
        <color theme="1"/>
        <rFont val="Calibri"/>
        <family val="2"/>
        <scheme val="minor"/>
      </rPr>
      <t xml:space="preserve"> para confirmar a fórmula como uma fórmula de matriz dinâmica. Caso contrário, a fórmula deve ser inserida como uma fórmula de matriz herdada primeiro selecionando o intervalo de saída, inserindo a fórmula na parte superior esquerda da célula do intervalo de saída e pressionando </t>
    </r>
    <r>
      <rPr>
        <b/>
        <sz val="11"/>
        <color theme="1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 xml:space="preserve"> para confirmá-la. O Excel insere chaves no início e no final da fórmula para você. Para obter mais informações sobre fórmulas de matriz, confira Diretrizes e exemplos de fórmulas de matriz.</t>
    </r>
  </si>
  <si>
    <t>Combinação de Coeficentes:</t>
  </si>
  <si>
    <t>I(alfa)</t>
  </si>
  <si>
    <t>I(beta)</t>
  </si>
  <si>
    <t>a1</t>
  </si>
  <si>
    <t>b1</t>
  </si>
  <si>
    <t>c1</t>
  </si>
  <si>
    <t>a2</t>
  </si>
  <si>
    <t>b2</t>
  </si>
  <si>
    <t>c2</t>
  </si>
  <si>
    <t>Coef.</t>
  </si>
  <si>
    <t>Valor</t>
  </si>
  <si>
    <t>R1 (ohm)</t>
  </si>
  <si>
    <t>R2 (ohm)</t>
  </si>
  <si>
    <t>R3 (ohm)</t>
  </si>
  <si>
    <t>V1 (V)</t>
  </si>
  <si>
    <t>V2 (V)</t>
  </si>
  <si>
    <t>Coef.
Alternativo</t>
  </si>
  <si>
    <t>Com coeficientes alternativos:</t>
  </si>
  <si>
    <t>k (?)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</si>
</sst>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8F20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D9E1F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1" fillId="2" borderId="1" xfId="0" applyFont="1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" fillId="3" borderId="0" xfId="0" applyFont="1" applyFill="1"/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0" xfId="0" applyFill="1"/>
    <xf numFmtId="0" fontId="0" fillId="2" borderId="0" xfId="0" applyFill="1" applyAlignment="1">
      <alignment horizontal="center" vertical="center"/>
    </xf>
    <xf numFmtId="0" fontId="1" fillId="2" borderId="0" xfId="0" applyFont="1" applyFill="1"/>
    <xf numFmtId="0" fontId="1" fillId="5" borderId="0" xfId="0" applyFont="1" applyFill="1"/>
    <xf numFmtId="0" fontId="0" fillId="0" borderId="2" xfId="0" applyBorder="1"/>
    <xf numFmtId="0" fontId="1" fillId="4" borderId="2" xfId="0" applyFont="1" applyFill="1" applyBorder="1"/>
    <xf numFmtId="0" fontId="1" fillId="3" borderId="2" xfId="0" applyFont="1" applyFill="1" applyBorder="1" applyAlignment="1">
      <alignment horizontal="center"/>
    </xf>
    <xf numFmtId="0" fontId="0" fillId="2" borderId="2" xfId="0" applyFill="1" applyBorder="1"/>
    <xf numFmtId="0" fontId="0" fillId="6" borderId="0" xfId="0" applyFill="1"/>
    <xf numFmtId="0" fontId="1" fillId="7" borderId="0" xfId="0" applyFont="1" applyFill="1"/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0" fillId="8" borderId="0" xfId="0" applyFill="1"/>
    <xf numFmtId="0" fontId="1" fillId="8" borderId="0" xfId="0" applyFont="1" applyFill="1"/>
    <xf numFmtId="0" fontId="1" fillId="9" borderId="0" xfId="0" applyFont="1" applyFill="1" applyAlignment="1">
      <alignment horizontal="center" vertical="center"/>
    </xf>
    <xf numFmtId="0" fontId="0" fillId="9" borderId="0" xfId="0" applyFill="1"/>
    <xf numFmtId="0" fontId="1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9E1F2"/>
      <color rgb="FFB4C6E7"/>
      <color rgb="FFF8F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Q26"/>
  <sheetViews>
    <sheetView tabSelected="1" workbookViewId="0">
      <selection activeCell="J7" sqref="J7"/>
    </sheetView>
  </sheetViews>
  <sheetFormatPr defaultRowHeight="15" x14ac:dyDescent="0.25"/>
  <cols>
    <col min="4" max="4" width="12.7109375" bestFit="1" customWidth="1"/>
    <col min="6" max="6" width="14.85546875" customWidth="1"/>
    <col min="17" max="17" width="12.140625" customWidth="1"/>
  </cols>
  <sheetData>
    <row r="1" spans="1:17" x14ac:dyDescent="0.25">
      <c r="A1" s="14"/>
      <c r="B1" s="15" t="s">
        <v>0</v>
      </c>
      <c r="C1" s="15" t="s">
        <v>1</v>
      </c>
      <c r="D1" s="15" t="s">
        <v>2</v>
      </c>
      <c r="E1" s="25"/>
      <c r="I1" t="s">
        <v>5</v>
      </c>
    </row>
    <row r="2" spans="1:17" x14ac:dyDescent="0.25">
      <c r="A2" s="16">
        <v>1</v>
      </c>
      <c r="B2" s="17">
        <f>P12</f>
        <v>10</v>
      </c>
      <c r="C2" s="17">
        <f>P13</f>
        <v>-3</v>
      </c>
      <c r="D2" s="17">
        <f>P14</f>
        <v>-6</v>
      </c>
      <c r="E2" s="25"/>
    </row>
    <row r="3" spans="1:17" x14ac:dyDescent="0.25">
      <c r="A3" s="16">
        <v>2</v>
      </c>
      <c r="B3" s="17">
        <f>P15</f>
        <v>-6</v>
      </c>
      <c r="C3" s="17">
        <f>P16</f>
        <v>4.5</v>
      </c>
      <c r="D3" s="17">
        <f>P17</f>
        <v>-12</v>
      </c>
      <c r="E3" s="25"/>
      <c r="I3" s="4"/>
      <c r="J3" s="5" t="s">
        <v>16</v>
      </c>
      <c r="K3" s="5" t="s">
        <v>17</v>
      </c>
      <c r="L3" s="5" t="s">
        <v>18</v>
      </c>
      <c r="M3" s="5" t="s">
        <v>23</v>
      </c>
      <c r="N3" s="5" t="s">
        <v>19</v>
      </c>
      <c r="O3" s="5" t="s">
        <v>20</v>
      </c>
      <c r="P3" s="20" t="s">
        <v>14</v>
      </c>
      <c r="Q3" s="21" t="s">
        <v>21</v>
      </c>
    </row>
    <row r="4" spans="1:17" x14ac:dyDescent="0.25">
      <c r="E4" s="25"/>
      <c r="I4" s="4" t="s">
        <v>15</v>
      </c>
      <c r="J4" s="7">
        <v>4</v>
      </c>
      <c r="K4" s="7">
        <v>3</v>
      </c>
      <c r="L4" s="7">
        <v>6</v>
      </c>
      <c r="M4" s="7">
        <v>1.5</v>
      </c>
      <c r="N4" s="7">
        <v>12</v>
      </c>
      <c r="O4" s="7">
        <v>6</v>
      </c>
      <c r="P4" s="20"/>
      <c r="Q4" s="20"/>
    </row>
    <row r="5" spans="1:17" x14ac:dyDescent="0.25">
      <c r="B5" s="1">
        <f t="array" ref="B5:C6">MINVERSE(B2:C3)</f>
        <v>0.16666666666666666</v>
      </c>
      <c r="C5" s="1">
        <v>0.11111111111111112</v>
      </c>
      <c r="D5" s="13">
        <f t="array" ref="D5:D6">MMULT(B5:C6,D2:D3)</f>
        <v>-2.3333333333333335</v>
      </c>
      <c r="E5" s="26" t="s">
        <v>6</v>
      </c>
      <c r="I5" s="6" t="s">
        <v>8</v>
      </c>
      <c r="J5" s="8">
        <v>1</v>
      </c>
      <c r="K5" s="8">
        <v>0</v>
      </c>
      <c r="L5" s="8">
        <v>1</v>
      </c>
      <c r="M5" s="8">
        <v>0</v>
      </c>
      <c r="N5" s="8">
        <v>0</v>
      </c>
      <c r="O5" s="8">
        <v>0</v>
      </c>
      <c r="P5" s="12"/>
      <c r="Q5" s="12"/>
    </row>
    <row r="6" spans="1:17" x14ac:dyDescent="0.25">
      <c r="B6" s="1">
        <v>0.22222222222222221</v>
      </c>
      <c r="C6" s="1">
        <v>0.37037037037037035</v>
      </c>
      <c r="D6" s="13">
        <v>-5.7777777777777777</v>
      </c>
      <c r="E6" s="26" t="s">
        <v>7</v>
      </c>
      <c r="I6" s="6" t="s">
        <v>9</v>
      </c>
      <c r="J6" s="8">
        <v>0</v>
      </c>
      <c r="K6" s="8">
        <v>1</v>
      </c>
      <c r="L6" s="8">
        <v>-1</v>
      </c>
      <c r="M6" s="8">
        <v>0</v>
      </c>
      <c r="N6" s="8">
        <v>0</v>
      </c>
      <c r="O6" s="8">
        <v>0</v>
      </c>
      <c r="P6" s="12"/>
      <c r="Q6" s="12"/>
    </row>
    <row r="7" spans="1:17" x14ac:dyDescent="0.25">
      <c r="A7" s="25"/>
      <c r="B7" s="25"/>
      <c r="C7" s="25"/>
      <c r="D7" s="25"/>
      <c r="E7" s="25"/>
      <c r="I7" s="6" t="s">
        <v>10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-1</v>
      </c>
      <c r="P7" s="12"/>
      <c r="Q7" s="12"/>
    </row>
    <row r="8" spans="1:17" x14ac:dyDescent="0.25">
      <c r="I8" s="6" t="s">
        <v>11</v>
      </c>
      <c r="J8" s="8">
        <v>0</v>
      </c>
      <c r="K8" s="8">
        <v>0</v>
      </c>
      <c r="L8" s="8">
        <v>-1</v>
      </c>
      <c r="M8" s="8">
        <v>0</v>
      </c>
      <c r="N8" s="8">
        <v>0</v>
      </c>
      <c r="O8" s="8">
        <v>0</v>
      </c>
      <c r="P8" s="12"/>
      <c r="Q8" s="12"/>
    </row>
    <row r="9" spans="1:17" x14ac:dyDescent="0.25">
      <c r="A9" s="23" t="s">
        <v>22</v>
      </c>
      <c r="B9" s="22"/>
      <c r="C9" s="22"/>
      <c r="D9" s="22"/>
      <c r="E9" s="22"/>
      <c r="I9" s="6" t="s">
        <v>12</v>
      </c>
      <c r="J9" s="8">
        <v>0</v>
      </c>
      <c r="K9" s="8">
        <v>1</v>
      </c>
      <c r="L9" s="8">
        <v>1</v>
      </c>
      <c r="M9" s="8">
        <f>-K4</f>
        <v>-3</v>
      </c>
      <c r="N9" s="8">
        <v>0</v>
      </c>
      <c r="O9" s="8">
        <v>0</v>
      </c>
      <c r="P9" s="12"/>
      <c r="Q9" s="12"/>
    </row>
    <row r="10" spans="1:17" x14ac:dyDescent="0.25">
      <c r="A10" s="14"/>
      <c r="B10" s="15" t="s">
        <v>0</v>
      </c>
      <c r="C10" s="15" t="s">
        <v>1</v>
      </c>
      <c r="D10" s="15" t="s">
        <v>2</v>
      </c>
      <c r="E10" s="22"/>
      <c r="I10" s="6" t="s">
        <v>13</v>
      </c>
      <c r="J10" s="8">
        <v>0</v>
      </c>
      <c r="K10" s="8">
        <v>0</v>
      </c>
      <c r="L10" s="8">
        <v>0</v>
      </c>
      <c r="M10" s="8">
        <v>0</v>
      </c>
      <c r="N10" s="8">
        <v>-1</v>
      </c>
      <c r="O10" s="8">
        <v>0</v>
      </c>
      <c r="P10" s="1"/>
      <c r="Q10" s="1"/>
    </row>
    <row r="11" spans="1:17" x14ac:dyDescent="0.25">
      <c r="A11" s="16">
        <v>1</v>
      </c>
      <c r="B11" s="17">
        <f>Q12</f>
        <v>-9</v>
      </c>
      <c r="C11" s="17">
        <f>Q13</f>
        <v>-1.5</v>
      </c>
      <c r="D11" s="17">
        <f>Q14</f>
        <v>6</v>
      </c>
      <c r="E11" s="22"/>
      <c r="J11" s="8"/>
      <c r="K11" s="8"/>
      <c r="L11" s="8"/>
      <c r="M11" s="8"/>
      <c r="N11" s="8"/>
      <c r="O11" s="8"/>
      <c r="P11" s="10"/>
    </row>
    <row r="12" spans="1:17" x14ac:dyDescent="0.25">
      <c r="A12" s="16">
        <v>2</v>
      </c>
      <c r="B12" s="17">
        <f>Q15</f>
        <v>6</v>
      </c>
      <c r="C12" s="17">
        <f>Q16</f>
        <v>-4.5</v>
      </c>
      <c r="D12" s="17">
        <f>Q17</f>
        <v>12</v>
      </c>
      <c r="E12" s="22"/>
      <c r="I12" s="6" t="s">
        <v>8</v>
      </c>
      <c r="J12" s="11">
        <f>J5*J$4</f>
        <v>4</v>
      </c>
      <c r="K12" s="11">
        <f t="shared" ref="K12:O12" si="0">K5*K$4</f>
        <v>0</v>
      </c>
      <c r="L12" s="11">
        <f t="shared" si="0"/>
        <v>6</v>
      </c>
      <c r="M12" s="11">
        <f t="shared" si="0"/>
        <v>0</v>
      </c>
      <c r="N12" s="11">
        <f t="shared" si="0"/>
        <v>0</v>
      </c>
      <c r="O12" s="11">
        <f t="shared" si="0"/>
        <v>0</v>
      </c>
      <c r="P12" s="24">
        <f>SUM(J12:O12)</f>
        <v>10</v>
      </c>
      <c r="Q12" s="22">
        <v>-9</v>
      </c>
    </row>
    <row r="13" spans="1:17" x14ac:dyDescent="0.25">
      <c r="E13" s="22"/>
      <c r="I13" s="6" t="s">
        <v>9</v>
      </c>
      <c r="J13" s="11">
        <f t="shared" ref="J13:O13" si="1">J6*J$4</f>
        <v>0</v>
      </c>
      <c r="K13" s="11">
        <f t="shared" si="1"/>
        <v>3</v>
      </c>
      <c r="L13" s="11">
        <f t="shared" si="1"/>
        <v>-6</v>
      </c>
      <c r="M13" s="11">
        <f t="shared" si="1"/>
        <v>0</v>
      </c>
      <c r="N13" s="11">
        <f t="shared" si="1"/>
        <v>0</v>
      </c>
      <c r="O13" s="11">
        <f t="shared" si="1"/>
        <v>0</v>
      </c>
      <c r="P13" s="9">
        <f t="shared" ref="P13:P17" si="2">SUM(J13:O13)</f>
        <v>-3</v>
      </c>
      <c r="Q13" s="18">
        <v>-1.5</v>
      </c>
    </row>
    <row r="14" spans="1:17" x14ac:dyDescent="0.25">
      <c r="B14" s="1">
        <f t="array" ref="B14:C15">MINVERSE(B11:C12)</f>
        <v>-9.0909090909090912E-2</v>
      </c>
      <c r="C14" s="1">
        <v>3.03030303030303E-2</v>
      </c>
      <c r="D14" s="19">
        <f t="array" ref="D14:D15">MMULT(B14:C15,D11:D12)</f>
        <v>-0.18181818181818182</v>
      </c>
      <c r="E14" s="23" t="s">
        <v>6</v>
      </c>
      <c r="I14" s="6" t="s">
        <v>10</v>
      </c>
      <c r="J14" s="11">
        <f t="shared" ref="J14:O14" si="3">J7*J$4</f>
        <v>0</v>
      </c>
      <c r="K14" s="11">
        <f t="shared" si="3"/>
        <v>0</v>
      </c>
      <c r="L14" s="11">
        <f t="shared" si="3"/>
        <v>0</v>
      </c>
      <c r="M14" s="11">
        <f t="shared" si="3"/>
        <v>0</v>
      </c>
      <c r="N14" s="11">
        <f t="shared" si="3"/>
        <v>0</v>
      </c>
      <c r="O14" s="11">
        <f t="shared" si="3"/>
        <v>-6</v>
      </c>
      <c r="P14" s="9">
        <f t="shared" si="2"/>
        <v>-6</v>
      </c>
      <c r="Q14" s="18">
        <v>6</v>
      </c>
    </row>
    <row r="15" spans="1:17" x14ac:dyDescent="0.25">
      <c r="B15" s="1">
        <v>-0.1212121212121212</v>
      </c>
      <c r="C15" s="1">
        <v>-0.18181818181818182</v>
      </c>
      <c r="D15" s="19">
        <v>-2.9090909090909087</v>
      </c>
      <c r="E15" s="23" t="s">
        <v>7</v>
      </c>
      <c r="I15" s="6" t="s">
        <v>11</v>
      </c>
      <c r="J15" s="11">
        <f t="shared" ref="J15:O15" si="4">J8*J$4</f>
        <v>0</v>
      </c>
      <c r="K15" s="11">
        <f t="shared" si="4"/>
        <v>0</v>
      </c>
      <c r="L15" s="11">
        <f t="shared" si="4"/>
        <v>-6</v>
      </c>
      <c r="M15" s="11">
        <f t="shared" si="4"/>
        <v>0</v>
      </c>
      <c r="N15" s="11">
        <f t="shared" si="4"/>
        <v>0</v>
      </c>
      <c r="O15" s="11">
        <f t="shared" si="4"/>
        <v>0</v>
      </c>
      <c r="P15" s="9">
        <f t="shared" si="2"/>
        <v>-6</v>
      </c>
      <c r="Q15" s="18">
        <v>6</v>
      </c>
    </row>
    <row r="16" spans="1:17" x14ac:dyDescent="0.25">
      <c r="A16" s="22"/>
      <c r="B16" s="22"/>
      <c r="C16" s="22"/>
      <c r="D16" s="22"/>
      <c r="E16" s="22"/>
      <c r="I16" s="6" t="s">
        <v>12</v>
      </c>
      <c r="J16" s="11">
        <f t="shared" ref="J16:O16" si="5">J9*J$4</f>
        <v>0</v>
      </c>
      <c r="K16" s="11">
        <f t="shared" si="5"/>
        <v>3</v>
      </c>
      <c r="L16" s="11">
        <f t="shared" si="5"/>
        <v>6</v>
      </c>
      <c r="M16" s="11">
        <f t="shared" si="5"/>
        <v>-4.5</v>
      </c>
      <c r="N16" s="11">
        <f t="shared" si="5"/>
        <v>0</v>
      </c>
      <c r="O16" s="11">
        <f t="shared" si="5"/>
        <v>0</v>
      </c>
      <c r="P16" s="9">
        <f t="shared" si="2"/>
        <v>4.5</v>
      </c>
      <c r="Q16" s="18">
        <v>-4.5</v>
      </c>
    </row>
    <row r="17" spans="1:17" x14ac:dyDescent="0.25">
      <c r="I17" s="6" t="s">
        <v>13</v>
      </c>
      <c r="J17" s="11">
        <f t="shared" ref="J17:O17" si="6">J10*J$4</f>
        <v>0</v>
      </c>
      <c r="K17" s="11">
        <f t="shared" si="6"/>
        <v>0</v>
      </c>
      <c r="L17" s="11">
        <f t="shared" si="6"/>
        <v>0</v>
      </c>
      <c r="M17" s="11">
        <f t="shared" si="6"/>
        <v>0</v>
      </c>
      <c r="N17" s="11">
        <f t="shared" si="6"/>
        <v>-12</v>
      </c>
      <c r="O17" s="11">
        <f t="shared" si="6"/>
        <v>0</v>
      </c>
      <c r="P17" s="9">
        <f t="shared" si="2"/>
        <v>-12</v>
      </c>
      <c r="Q17" s="18">
        <v>12</v>
      </c>
    </row>
    <row r="24" spans="1:17" ht="23.25" customHeight="1" x14ac:dyDescent="0.25">
      <c r="F24" s="3"/>
    </row>
    <row r="25" spans="1:17" ht="147" customHeight="1" x14ac:dyDescent="0.25">
      <c r="A25" s="3" t="s">
        <v>3</v>
      </c>
      <c r="B25" s="3"/>
      <c r="C25" s="3"/>
      <c r="D25" s="3"/>
      <c r="E25" s="3"/>
      <c r="F25" s="2"/>
    </row>
    <row r="26" spans="1:17" ht="409.5" x14ac:dyDescent="0.25">
      <c r="A26" s="2" t="s">
        <v>4</v>
      </c>
      <c r="B26" s="2"/>
      <c r="C26" s="2"/>
      <c r="D26" s="2"/>
      <c r="E26" s="2"/>
    </row>
  </sheetData>
  <mergeCells count="2">
    <mergeCell ref="P3:P4"/>
    <mergeCell ref="Q3:Q4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Resolução de Sistemas Lineares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Porto Trevizan</dc:creator>
  <cp:lastModifiedBy>Marcelo Porto Trevizan</cp:lastModifiedBy>
  <dcterms:created xsi:type="dcterms:W3CDTF">2019-12-03T20:44:44Z</dcterms:created>
  <dcterms:modified xsi:type="dcterms:W3CDTF">2019-12-23T16:10:39Z</dcterms:modified>
</cp:coreProperties>
</file>